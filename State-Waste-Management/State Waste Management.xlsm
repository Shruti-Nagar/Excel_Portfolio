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yanka_Nagar\OneDrive\Desktop\"/>
    </mc:Choice>
  </mc:AlternateContent>
  <bookViews>
    <workbookView xWindow="0" yWindow="0" windowWidth="20490" windowHeight="7650" activeTab="1"/>
  </bookViews>
  <sheets>
    <sheet name="Documentation" sheetId="23" r:id="rId1"/>
    <sheet name="State Waste Management" sheetId="22" r:id="rId2"/>
  </sheets>
  <definedNames>
    <definedName name="State_Territory">'State Waste Management'!$B$17:$B$24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" i="22" l="1"/>
  <c r="N1" i="22"/>
  <c r="M1" i="22"/>
  <c r="J18" i="22" l="1"/>
  <c r="J19" i="22"/>
  <c r="J20" i="22"/>
  <c r="J21" i="22"/>
  <c r="J22" i="22"/>
  <c r="J23" i="22"/>
  <c r="J24" i="22"/>
  <c r="J17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I18" i="22"/>
  <c r="I19" i="22"/>
  <c r="I20" i="22"/>
  <c r="I21" i="22"/>
  <c r="I22" i="22"/>
  <c r="I23" i="22"/>
  <c r="I24" i="22"/>
</calcChain>
</file>

<file path=xl/sharedStrings.xml><?xml version="1.0" encoding="utf-8"?>
<sst xmlns="http://schemas.openxmlformats.org/spreadsheetml/2006/main" count="108" uniqueCount="77">
  <si>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</si>
  <si>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</si>
  <si>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</si>
  <si>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</si>
  <si>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</si>
  <si>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</si>
  <si>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</si>
  <si>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</si>
  <si>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</si>
  <si>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</si>
  <si>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</si>
  <si>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</si>
  <si>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</si>
  <si>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</si>
  <si>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</si>
  <si>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</si>
  <si>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</si>
  <si>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</si>
  <si>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</si>
  <si>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</si>
  <si>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</si>
  <si>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</si>
  <si>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</si>
  <si>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</si>
  <si>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</si>
  <si>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</si>
  <si>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</si>
  <si>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</si>
  <si>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</si>
  <si>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</si>
  <si>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</si>
  <si>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</si>
  <si>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</si>
  <si>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</si>
  <si>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</si>
  <si>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</si>
  <si>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</si>
  <si>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</si>
  <si>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</si>
  <si>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</si>
  <si>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</si>
  <si>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</si>
  <si>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</si>
  <si>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</si>
  <si>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</si>
  <si>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</si>
  <si>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</si>
  <si>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</si>
  <si>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</si>
  <si>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</si>
  <si>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</si>
  <si>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</si>
  <si>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</si>
  <si>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</si>
  <si>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</si>
  <si>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</si>
  <si>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</si>
  <si>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</si>
  <si>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</si>
  <si>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</si>
  <si>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</si>
  <si>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</si>
  <si>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</si>
  <si>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</si>
  <si>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</si>
  <si>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</si>
  <si>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</si>
  <si>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</si>
  <si>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</si>
  <si>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</si>
  <si>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</si>
  <si>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</si>
  <si>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</si>
  <si>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</si>
  <si>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State Waste Management</t>
  </si>
  <si>
    <r>
      <rPr>
        <sz val="11"/>
        <color rgb="FF25AD28"/>
        <rFont val="Calibri"/>
        <family val="2"/>
      </rPr>
      <t xml:space="preserve">• </t>
    </r>
    <r>
      <rPr>
        <sz val="11"/>
        <color theme="0" tint="-0.249977111117893"/>
        <rFont val="Calibri"/>
        <family val="2"/>
        <scheme val="minor"/>
      </rPr>
      <t>Click on Circles to highlight state based data(It will only work when macros are enabled)</t>
    </r>
  </si>
  <si>
    <r>
      <t>State Select</t>
    </r>
    <r>
      <rPr>
        <b/>
        <sz val="10"/>
        <color theme="0"/>
        <rFont val="Arial"/>
        <family val="2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</si>
</sst>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8"/>
      <color theme="0" tint="-0.249977111117893"/>
      <name val="Poppins"/>
    </font>
    <font>
      <sz val="11"/>
      <color rgb="FF25AD28"/>
      <name val="Calibri"/>
      <family val="2"/>
    </font>
    <font>
      <b/>
      <sz val="8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0" fontId="22" fillId="33" borderId="0" xfId="0" applyFont="1" applyFill="1" applyBorder="1"/>
    <xf numFmtId="0" fontId="29" fillId="33" borderId="0" xfId="0" applyFont="1" applyFill="1" applyBorder="1"/>
    <xf numFmtId="0" fontId="17" fillId="33" borderId="0" xfId="43" applyNumberFormat="1" applyFont="1" applyFill="1" applyBorder="1"/>
    <xf numFmtId="2" fontId="30" fillId="33" borderId="0" xfId="0" applyNumberFormat="1" applyFont="1" applyFill="1" applyBorder="1" applyAlignment="1">
      <alignment horizontal="center" wrapText="1"/>
    </xf>
    <xf numFmtId="0" fontId="20" fillId="33" borderId="0" xfId="0" applyFont="1" applyFill="1" applyBorder="1" applyAlignment="1">
      <alignment horizontal="left"/>
    </xf>
    <xf numFmtId="0" fontId="25" fillId="33" borderId="0" xfId="0" applyFont="1" applyFill="1" applyBorder="1" applyAlignment="1">
      <alignment horizontal="left" wrapText="1"/>
    </xf>
    <xf numFmtId="0" fontId="17" fillId="33" borderId="0" xfId="0" applyFont="1" applyFill="1" applyBorder="1" applyAlignment="1">
      <alignment horizontal="left"/>
    </xf>
    <xf numFmtId="9" fontId="21" fillId="33" borderId="0" xfId="43" applyFont="1" applyFill="1" applyBorder="1"/>
    <xf numFmtId="9" fontId="21" fillId="33" borderId="0" xfId="43" applyFont="1" applyFill="1" applyBorder="1" applyAlignment="1"/>
    <xf numFmtId="0" fontId="0" fillId="33" borderId="0" xfId="0" applyFill="1"/>
    <xf numFmtId="0" fontId="0" fillId="33" borderId="0" xfId="0" applyFill="1" applyAlignment="1"/>
    <xf numFmtId="9" fontId="34" fillId="33" borderId="0" xfId="43" applyFont="1" applyFill="1" applyBorder="1" applyAlignment="1">
      <alignment horizontal="left" vertical="center" wrapText="1"/>
    </xf>
    <xf numFmtId="0" fontId="31" fillId="33" borderId="0" xfId="0" applyFont="1" applyFill="1" applyBorder="1" applyAlignment="1">
      <alignment horizontal="left"/>
    </xf>
    <xf numFmtId="0" fontId="35" fillId="33" borderId="0" xfId="0" applyFont="1" applyFill="1" applyBorder="1" applyAlignment="1">
      <alignment horizontal="center" vertical="center"/>
    </xf>
    <xf numFmtId="9" fontId="35" fillId="33" borderId="0" xfId="43" applyFont="1" applyFill="1" applyBorder="1" applyAlignment="1">
      <alignment horizontal="center" vertical="center"/>
    </xf>
    <xf numFmtId="0" fontId="32" fillId="33" borderId="0" xfId="0" applyFont="1" applyFill="1" applyAlignment="1">
      <alignment horizontal="center" vertical="top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font>
        <color theme="1"/>
      </font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25AD28"/>
        </patternFill>
      </fill>
    </dxf>
  </dxfs>
  <tableStyles count="0" defaultTableStyle="TableStyleMedium2" defaultPivotStyle="PivotStyleLight16"/>
  <colors>
    <mruColors>
      <color rgb="FF1D1D1D"/>
      <color rgb="FF191919"/>
      <color rgb="FF25AD28"/>
      <color rgb="FF8FAADC"/>
      <color rgb="FF14AADC"/>
      <color rgb="FF0A4F88"/>
      <color rgb="FFFF2D2D"/>
      <color rgb="FF99CCFF"/>
      <color rgb="FF3B4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2</xdr:row>
      <xdr:rowOff>28575</xdr:rowOff>
    </xdr:from>
    <xdr:to>
      <xdr:col>2</xdr:col>
      <xdr:colOff>257175</xdr:colOff>
      <xdr:row>4</xdr:row>
      <xdr:rowOff>152400</xdr:rowOff>
    </xdr:to>
    <xdr:sp macro="[0]!Cond_format" textlink="">
      <xdr:nvSpPr>
        <xdr:cNvPr id="2" name="Flowchart: Alternate Process 1"/>
        <xdr:cNvSpPr/>
      </xdr:nvSpPr>
      <xdr:spPr>
        <a:xfrm>
          <a:off x="333375" y="638175"/>
          <a:ext cx="1143000" cy="504825"/>
        </a:xfrm>
        <a:prstGeom prst="flowChartAlternateProcess">
          <a:avLst/>
        </a:prstGeom>
        <a:gradFill flip="none" rotWithShape="1">
          <a:gsLst>
            <a:gs pos="0">
              <a:srgbClr val="0A4F88"/>
            </a:gs>
            <a:gs pos="100000">
              <a:srgbClr val="8FAADC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00" b="1">
              <a:solidFill>
                <a:sysClr val="windowText" lastClr="000000"/>
              </a:solidFill>
              <a:latin typeface="Poppins" panose="00000500000000000000" pitchFamily="2" charset="0"/>
              <a:cs typeface="Poppins" panose="00000500000000000000" pitchFamily="2" charset="0"/>
            </a:rPr>
            <a:t>Conditional Formatting</a:t>
          </a:r>
        </a:p>
      </xdr:txBody>
    </xdr:sp>
    <xdr:clientData/>
  </xdr:twoCellAnchor>
  <xdr:twoCellAnchor>
    <xdr:from>
      <xdr:col>5</xdr:col>
      <xdr:colOff>28575</xdr:colOff>
      <xdr:row>2</xdr:row>
      <xdr:rowOff>28575</xdr:rowOff>
    </xdr:from>
    <xdr:to>
      <xdr:col>6</xdr:col>
      <xdr:colOff>561975</xdr:colOff>
      <xdr:row>4</xdr:row>
      <xdr:rowOff>152400</xdr:rowOff>
    </xdr:to>
    <xdr:sp macro="[0]!sparklines" textlink="">
      <xdr:nvSpPr>
        <xdr:cNvPr id="3" name="Flowchart: Alternate Process 2"/>
        <xdr:cNvSpPr/>
      </xdr:nvSpPr>
      <xdr:spPr>
        <a:xfrm>
          <a:off x="3076575" y="638175"/>
          <a:ext cx="1143000" cy="504825"/>
        </a:xfrm>
        <a:prstGeom prst="flowChartAlternateProcess">
          <a:avLst/>
        </a:prstGeom>
        <a:gradFill flip="none" rotWithShape="1">
          <a:gsLst>
            <a:gs pos="0">
              <a:srgbClr val="0A4F88"/>
            </a:gs>
            <a:gs pos="100000">
              <a:srgbClr val="8FAADC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000" b="1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Sparklines</a:t>
          </a:r>
        </a:p>
      </xdr:txBody>
    </xdr:sp>
    <xdr:clientData/>
  </xdr:twoCellAnchor>
  <xdr:twoCellAnchor>
    <xdr:from>
      <xdr:col>2</xdr:col>
      <xdr:colOff>485775</xdr:colOff>
      <xdr:row>5</xdr:row>
      <xdr:rowOff>95250</xdr:rowOff>
    </xdr:from>
    <xdr:to>
      <xdr:col>4</xdr:col>
      <xdr:colOff>409575</xdr:colOff>
      <xdr:row>8</xdr:row>
      <xdr:rowOff>28575</xdr:rowOff>
    </xdr:to>
    <xdr:sp macro="[0]!macro_" textlink="">
      <xdr:nvSpPr>
        <xdr:cNvPr id="4" name="Flowchart: Alternate Process 3"/>
        <xdr:cNvSpPr/>
      </xdr:nvSpPr>
      <xdr:spPr>
        <a:xfrm>
          <a:off x="1704975" y="1276350"/>
          <a:ext cx="1143000" cy="504825"/>
        </a:xfrm>
        <a:prstGeom prst="flowChartAlternateProcess">
          <a:avLst/>
        </a:prstGeom>
        <a:gradFill flip="none" rotWithShape="1">
          <a:gsLst>
            <a:gs pos="0">
              <a:srgbClr val="0A4F88"/>
            </a:gs>
            <a:gs pos="100000">
              <a:srgbClr val="8FAADC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000" b="1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Macros</a:t>
          </a:r>
        </a:p>
      </xdr:txBody>
    </xdr:sp>
    <xdr:clientData/>
  </xdr:twoCellAnchor>
  <xdr:twoCellAnchor>
    <xdr:from>
      <xdr:col>2</xdr:col>
      <xdr:colOff>485775</xdr:colOff>
      <xdr:row>2</xdr:row>
      <xdr:rowOff>28575</xdr:rowOff>
    </xdr:from>
    <xdr:to>
      <xdr:col>4</xdr:col>
      <xdr:colOff>409575</xdr:colOff>
      <xdr:row>4</xdr:row>
      <xdr:rowOff>152400</xdr:rowOff>
    </xdr:to>
    <xdr:sp macro="[0]!vlookup_" textlink="">
      <xdr:nvSpPr>
        <xdr:cNvPr id="5" name="Flowchart: Alternate Process 4"/>
        <xdr:cNvSpPr/>
      </xdr:nvSpPr>
      <xdr:spPr>
        <a:xfrm>
          <a:off x="1704975" y="638175"/>
          <a:ext cx="1143000" cy="504825"/>
        </a:xfrm>
        <a:prstGeom prst="flowChartAlternateProcess">
          <a:avLst/>
        </a:prstGeom>
        <a:gradFill flip="none" rotWithShape="1">
          <a:gsLst>
            <a:gs pos="0">
              <a:srgbClr val="0A4F88"/>
            </a:gs>
            <a:gs pos="100000">
              <a:srgbClr val="8FAADC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000" b="1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Vlookup</a:t>
          </a:r>
        </a:p>
      </xdr:txBody>
    </xdr:sp>
    <xdr:clientData/>
  </xdr:twoCellAnchor>
  <xdr:twoCellAnchor>
    <xdr:from>
      <xdr:col>0</xdr:col>
      <xdr:colOff>333375</xdr:colOff>
      <xdr:row>5</xdr:row>
      <xdr:rowOff>95250</xdr:rowOff>
    </xdr:from>
    <xdr:to>
      <xdr:col>2</xdr:col>
      <xdr:colOff>257175</xdr:colOff>
      <xdr:row>8</xdr:row>
      <xdr:rowOff>28575</xdr:rowOff>
    </xdr:to>
    <xdr:sp macro="" textlink="">
      <xdr:nvSpPr>
        <xdr:cNvPr id="6" name="Flowchart: Alternate Process 5"/>
        <xdr:cNvSpPr/>
      </xdr:nvSpPr>
      <xdr:spPr>
        <a:xfrm>
          <a:off x="333375" y="1276350"/>
          <a:ext cx="1143000" cy="504825"/>
        </a:xfrm>
        <a:prstGeom prst="flowChartAlternateProcess">
          <a:avLst/>
        </a:prstGeom>
        <a:gradFill flip="none" rotWithShape="1">
          <a:gsLst>
            <a:gs pos="0">
              <a:srgbClr val="0A4F88"/>
            </a:gs>
            <a:gs pos="100000">
              <a:srgbClr val="8FAADC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000" b="1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Visualization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561949</xdr:colOff>
      <xdr:row>2</xdr:row>
      <xdr:rowOff>150889</xdr:rowOff>
    </xdr:from>
    <xdr:to>
      <xdr:col>16</xdr:col>
      <xdr:colOff>438710</xdr:colOff>
      <xdr:row>26</xdr:row>
      <xdr:rowOff>36122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9331" y="677565"/>
          <a:ext cx="4291879" cy="4188292"/>
        </a:xfrm>
        <a:prstGeom prst="rect">
          <a:avLst/>
        </a:prstGeom>
      </xdr:spPr>
    </xdr:pic>
    <xdr:clientData/>
  </xdr:twoCellAnchor>
  <xdr:twoCellAnchor editAs="absolute">
    <xdr:from>
      <xdr:col>12</xdr:col>
      <xdr:colOff>496734</xdr:colOff>
      <xdr:row>13</xdr:row>
      <xdr:rowOff>63479</xdr:rowOff>
    </xdr:from>
    <xdr:to>
      <xdr:col>12</xdr:col>
      <xdr:colOff>638376</xdr:colOff>
      <xdr:row>14</xdr:row>
      <xdr:rowOff>19664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9354423" y="2587604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328684</xdr:colOff>
      <xdr:row>10</xdr:row>
      <xdr:rowOff>1356</xdr:rowOff>
    </xdr:from>
    <xdr:to>
      <xdr:col>14</xdr:col>
      <xdr:colOff>465844</xdr:colOff>
      <xdr:row>10</xdr:row>
      <xdr:rowOff>138516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0624649" y="1982556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331161</xdr:colOff>
      <xdr:row>16</xdr:row>
      <xdr:rowOff>155726</xdr:rowOff>
    </xdr:from>
    <xdr:to>
      <xdr:col>15</xdr:col>
      <xdr:colOff>468321</xdr:colOff>
      <xdr:row>17</xdr:row>
      <xdr:rowOff>111911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1684401" y="3222776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334705</xdr:colOff>
      <xdr:row>10</xdr:row>
      <xdr:rowOff>426</xdr:rowOff>
    </xdr:from>
    <xdr:to>
      <xdr:col>15</xdr:col>
      <xdr:colOff>471865</xdr:colOff>
      <xdr:row>10</xdr:row>
      <xdr:rowOff>137586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1687945" y="1981626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440682</xdr:colOff>
      <xdr:row>15</xdr:row>
      <xdr:rowOff>117369</xdr:rowOff>
    </xdr:from>
    <xdr:to>
      <xdr:col>14</xdr:col>
      <xdr:colOff>577842</xdr:colOff>
      <xdr:row>16</xdr:row>
      <xdr:rowOff>73554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0736647" y="3003444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739227</xdr:colOff>
      <xdr:row>19</xdr:row>
      <xdr:rowOff>61532</xdr:rowOff>
    </xdr:from>
    <xdr:to>
      <xdr:col>15</xdr:col>
      <xdr:colOff>876387</xdr:colOff>
      <xdr:row>20</xdr:row>
      <xdr:rowOff>17717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092467" y="3671507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334432</xdr:colOff>
      <xdr:row>20</xdr:row>
      <xdr:rowOff>170904</xdr:rowOff>
    </xdr:from>
    <xdr:to>
      <xdr:col>15</xdr:col>
      <xdr:colOff>471592</xdr:colOff>
      <xdr:row>21</xdr:row>
      <xdr:rowOff>127089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1687672" y="3961854"/>
          <a:ext cx="137160" cy="13716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447832</xdr:colOff>
      <xdr:row>24</xdr:row>
      <xdr:rowOff>56757</xdr:rowOff>
    </xdr:from>
    <xdr:to>
      <xdr:col>15</xdr:col>
      <xdr:colOff>584992</xdr:colOff>
      <xdr:row>25</xdr:row>
      <xdr:rowOff>9313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1801072" y="4571607"/>
          <a:ext cx="137160" cy="133531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921122</xdr:colOff>
      <xdr:row>28</xdr:row>
      <xdr:rowOff>156880</xdr:rowOff>
    </xdr:from>
    <xdr:to>
      <xdr:col>17</xdr:col>
      <xdr:colOff>259976</xdr:colOff>
      <xdr:row>31</xdr:row>
      <xdr:rowOff>11202</xdr:rowOff>
    </xdr:to>
    <xdr:sp macro="" textlink="O1">
      <xdr:nvSpPr>
        <xdr:cNvPr id="24" name="Flowchart: Terminator 23"/>
        <xdr:cNvSpPr/>
      </xdr:nvSpPr>
      <xdr:spPr>
        <a:xfrm>
          <a:off x="12250269" y="5345204"/>
          <a:ext cx="1120589" cy="392204"/>
        </a:xfrm>
        <a:prstGeom prst="flowChartTerminator">
          <a:avLst/>
        </a:prstGeom>
        <a:noFill/>
        <a:ln w="190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7E919E-F5D3-4953-BF96-B1B630756A9B}" type="TxLink">
            <a:rPr lang="en-US" sz="1200" b="0" i="0" u="none" strike="noStrike">
              <a:solidFill>
                <a:schemeClr val="bg1">
                  <a:lumMod val="65000"/>
                </a:schemeClr>
              </a:solidFill>
              <a:latin typeface="Calibri"/>
              <a:cs typeface="Calibri"/>
            </a:rPr>
            <a:pPr algn="ctr"/>
            <a:t>85%</a:t>
          </a:fld>
          <a:endParaRPr lang="en-US" sz="12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 editAs="oneCell">
    <xdr:from>
      <xdr:col>15</xdr:col>
      <xdr:colOff>818030</xdr:colOff>
      <xdr:row>28</xdr:row>
      <xdr:rowOff>26731</xdr:rowOff>
    </xdr:from>
    <xdr:to>
      <xdr:col>16</xdr:col>
      <xdr:colOff>118942</xdr:colOff>
      <xdr:row>30</xdr:row>
      <xdr:rowOff>22408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7177" y="5215055"/>
          <a:ext cx="354265" cy="354265"/>
        </a:xfrm>
        <a:prstGeom prst="rect">
          <a:avLst/>
        </a:prstGeom>
      </xdr:spPr>
    </xdr:pic>
    <xdr:clientData/>
  </xdr:twoCellAnchor>
  <xdr:twoCellAnchor>
    <xdr:from>
      <xdr:col>13</xdr:col>
      <xdr:colOff>623045</xdr:colOff>
      <xdr:row>28</xdr:row>
      <xdr:rowOff>156880</xdr:rowOff>
    </xdr:from>
    <xdr:to>
      <xdr:col>14</xdr:col>
      <xdr:colOff>1026458</xdr:colOff>
      <xdr:row>31</xdr:row>
      <xdr:rowOff>11202</xdr:rowOff>
    </xdr:to>
    <xdr:sp macro="" textlink="N1">
      <xdr:nvSpPr>
        <xdr:cNvPr id="23" name="Flowchart: Terminator 22"/>
        <xdr:cNvSpPr/>
      </xdr:nvSpPr>
      <xdr:spPr>
        <a:xfrm>
          <a:off x="10181663" y="5345204"/>
          <a:ext cx="1120589" cy="392204"/>
        </a:xfrm>
        <a:prstGeom prst="flowChartTerminator">
          <a:avLst/>
        </a:prstGeom>
        <a:noFill/>
        <a:ln w="190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004AB5-4460-40FC-92CF-97F8AFFC1356}" type="TxLink">
            <a:rPr lang="en-US" sz="1200" b="0" i="0" u="none" strike="noStrike">
              <a:solidFill>
                <a:schemeClr val="bg1">
                  <a:lumMod val="65000"/>
                </a:schemeClr>
              </a:solidFill>
              <a:latin typeface="Calibri"/>
              <a:cs typeface="Calibri"/>
            </a:rPr>
            <a:pPr algn="ctr"/>
            <a:t>11%</a:t>
          </a:fld>
          <a:endParaRPr lang="en-US" sz="12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10</xdr:col>
      <xdr:colOff>145675</xdr:colOff>
      <xdr:row>28</xdr:row>
      <xdr:rowOff>156880</xdr:rowOff>
    </xdr:from>
    <xdr:to>
      <xdr:col>12</xdr:col>
      <xdr:colOff>403411</xdr:colOff>
      <xdr:row>31</xdr:row>
      <xdr:rowOff>11202</xdr:rowOff>
    </xdr:to>
    <xdr:sp macro="" textlink="M1">
      <xdr:nvSpPr>
        <xdr:cNvPr id="10" name="Flowchart: Terminator 9"/>
        <xdr:cNvSpPr/>
      </xdr:nvSpPr>
      <xdr:spPr>
        <a:xfrm>
          <a:off x="8113057" y="5345204"/>
          <a:ext cx="1120589" cy="392204"/>
        </a:xfrm>
        <a:prstGeom prst="flowChartTerminator">
          <a:avLst/>
        </a:prstGeom>
        <a:noFill/>
        <a:ln w="190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A8E458-695B-463D-90C8-74D4FC573F0D}" type="TxLink">
            <a:rPr lang="en-US" sz="1200" b="0" i="0" u="none" strike="noStrike">
              <a:solidFill>
                <a:schemeClr val="bg1">
                  <a:lumMod val="65000"/>
                </a:schemeClr>
              </a:solidFill>
              <a:latin typeface="Calibri"/>
              <a:cs typeface="Calibri"/>
            </a:rPr>
            <a:pPr algn="ctr"/>
            <a:t>4%</a:t>
          </a:fld>
          <a:endParaRPr lang="en-US" sz="12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49149</xdr:colOff>
      <xdr:row>28</xdr:row>
      <xdr:rowOff>26731</xdr:rowOff>
    </xdr:from>
    <xdr:to>
      <xdr:col>10</xdr:col>
      <xdr:colOff>403414</xdr:colOff>
      <xdr:row>30</xdr:row>
      <xdr:rowOff>22408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531" y="5215055"/>
          <a:ext cx="354265" cy="354265"/>
        </a:xfrm>
        <a:prstGeom prst="rect">
          <a:avLst/>
        </a:prstGeom>
      </xdr:spPr>
    </xdr:pic>
    <xdr:clientData/>
  </xdr:twoCellAnchor>
  <xdr:twoCellAnchor editAs="oneCell">
    <xdr:from>
      <xdr:col>13</xdr:col>
      <xdr:colOff>523236</xdr:colOff>
      <xdr:row>28</xdr:row>
      <xdr:rowOff>26731</xdr:rowOff>
    </xdr:from>
    <xdr:to>
      <xdr:col>14</xdr:col>
      <xdr:colOff>160325</xdr:colOff>
      <xdr:row>30</xdr:row>
      <xdr:rowOff>22408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1854" y="5215055"/>
          <a:ext cx="354265" cy="3542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B19" sqref="B19"/>
    </sheetView>
  </sheetViews>
  <sheetFormatPr defaultRowHeight="15" x14ac:dyDescent="0.25"/>
  <cols>
    <col min="1" max="16384" width="9.140625" style="90"/>
  </cols>
  <sheetData>
    <row r="1" spans="1:6" ht="33" customHeight="1" x14ac:dyDescent="0.25">
      <c r="A1" s="96" t="s">
        <v>74</v>
      </c>
      <c r="B1" s="96"/>
      <c r="C1" s="96"/>
      <c r="D1" s="96"/>
      <c r="E1" s="96"/>
      <c r="F1" s="96"/>
    </row>
    <row r="4" spans="1:6" x14ac:dyDescent="0.25">
      <c r="E4" s="91"/>
    </row>
  </sheetData>
  <mergeCells count="1">
    <mergeCell ref="A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63"/>
  <sheetViews>
    <sheetView tabSelected="1" zoomScale="85" zoomScaleNormal="85" workbookViewId="0">
      <selection activeCell="J4" sqref="J4"/>
    </sheetView>
  </sheetViews>
  <sheetFormatPr defaultColWidth="9" defaultRowHeight="14.85" customHeight="1" x14ac:dyDescent="0.25"/>
  <cols>
    <col min="1" max="1" width="1.140625" style="6" customWidth="1"/>
    <col min="2" max="2" width="14" style="75" customWidth="1"/>
    <col min="3" max="9" width="13" style="2" customWidth="1"/>
    <col min="10" max="10" width="13.7109375" style="4" customWidth="1"/>
    <col min="11" max="11" width="9.5703125" style="2" customWidth="1"/>
    <col min="12" max="12" width="3.42578125" style="1" customWidth="1"/>
    <col min="13" max="13" width="10.85546875" style="1" customWidth="1"/>
    <col min="14" max="14" width="10.7109375" style="1" customWidth="1"/>
    <col min="15" max="16" width="15.85546875" style="1" customWidth="1"/>
    <col min="17" max="19" width="10.85546875" style="1" customWidth="1"/>
    <col min="20" max="21" width="10.85546875" style="10" hidden="1" customWidth="1"/>
    <col min="22" max="24" width="10.85546875" style="1" customWidth="1"/>
    <col min="25" max="28" width="6.85546875" style="1" customWidth="1"/>
    <col min="29" max="16384" width="9" style="1"/>
  </cols>
  <sheetData>
    <row r="1" spans="1:21" s="8" customFormat="1" ht="28.15" customHeight="1" x14ac:dyDescent="0.35">
      <c r="A1" s="6"/>
      <c r="B1" s="74" t="s">
        <v>73</v>
      </c>
      <c r="C1" s="2"/>
      <c r="D1" s="2"/>
      <c r="E1" s="2"/>
      <c r="F1" s="2"/>
      <c r="G1" s="2"/>
      <c r="H1" s="2"/>
      <c r="I1" s="7"/>
      <c r="J1" s="95" t="s">
        <v>76</v>
      </c>
      <c r="K1" s="94" t="s">
        <v>3</v>
      </c>
      <c r="L1" s="82"/>
      <c r="M1" s="88">
        <f>VLOOKUP(K1,B29:E36,2)</f>
        <v>0.04</v>
      </c>
      <c r="N1" s="89">
        <f>VLOOKUP(K1,B29:E36,3)</f>
        <v>0.11</v>
      </c>
      <c r="O1" s="88">
        <f>VLOOKUP(K1,B29:E36,4)</f>
        <v>0.85</v>
      </c>
      <c r="P1" s="83"/>
      <c r="Q1" s="82"/>
      <c r="T1" s="9"/>
      <c r="U1" s="9"/>
    </row>
    <row r="2" spans="1:21" ht="14.85" customHeight="1" x14ac:dyDescent="0.25">
      <c r="I2" s="81"/>
      <c r="M2" s="93" t="s">
        <v>75</v>
      </c>
      <c r="N2" s="93"/>
      <c r="O2" s="93"/>
      <c r="P2" s="93"/>
    </row>
    <row r="3" spans="1:21" ht="14.85" customHeight="1" x14ac:dyDescent="0.25">
      <c r="B3" s="79" t="s">
        <v>8</v>
      </c>
      <c r="I3" s="81"/>
      <c r="M3" s="2"/>
      <c r="N3" s="2"/>
      <c r="O3" s="2"/>
      <c r="T3" s="11" t="s">
        <v>17</v>
      </c>
      <c r="U3" s="12" t="s">
        <v>45</v>
      </c>
    </row>
    <row r="4" spans="1:21" ht="14.85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5">
      <c r="B5" s="86" t="s">
        <v>1</v>
      </c>
      <c r="C5" s="84">
        <v>2.0828402366863905</v>
      </c>
      <c r="D5" s="84">
        <v>2.0398860398860399</v>
      </c>
      <c r="E5" s="84">
        <v>2.4438356164383563</v>
      </c>
      <c r="F5" s="84">
        <v>1.8091603053435115</v>
      </c>
      <c r="G5" s="84">
        <v>2.1825000000000001</v>
      </c>
      <c r="H5" s="84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85" customHeight="1" x14ac:dyDescent="0.25">
      <c r="B6" s="86" t="s">
        <v>2</v>
      </c>
      <c r="C6" s="84">
        <v>2.3376068376068377</v>
      </c>
      <c r="D6" s="84">
        <v>2.6406740931162527</v>
      </c>
      <c r="E6" s="84">
        <v>2.4350974930362117</v>
      </c>
      <c r="F6" s="84">
        <v>2.3359302786214182</v>
      </c>
      <c r="G6" s="84">
        <v>2.3366749121208175</v>
      </c>
      <c r="H6" s="84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85" customHeight="1" x14ac:dyDescent="0.25">
      <c r="B7" s="86" t="s">
        <v>3</v>
      </c>
      <c r="C7" s="84">
        <v>2.5023696682464456</v>
      </c>
      <c r="D7" s="84">
        <v>1.6771300448430493</v>
      </c>
      <c r="E7" s="84">
        <v>1.6130434782608696</v>
      </c>
      <c r="F7" s="84">
        <v>1.9506172839506173</v>
      </c>
      <c r="G7" s="84">
        <v>1.9959016393442623</v>
      </c>
      <c r="H7" s="84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85" customHeight="1" x14ac:dyDescent="0.25">
      <c r="B8" s="86" t="s">
        <v>10</v>
      </c>
      <c r="C8" s="84">
        <v>2.363412228796844</v>
      </c>
      <c r="D8" s="84">
        <v>2.2832086061739942</v>
      </c>
      <c r="E8" s="84">
        <v>2.0538652242506199</v>
      </c>
      <c r="F8" s="84">
        <v>2.2293288449400377</v>
      </c>
      <c r="G8" s="84">
        <v>2.1446083523789734</v>
      </c>
      <c r="H8" s="84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85" customHeight="1" x14ac:dyDescent="0.25">
      <c r="B9" s="86" t="s">
        <v>4</v>
      </c>
      <c r="C9" s="84">
        <v>1.9955156950672646</v>
      </c>
      <c r="D9" s="84">
        <v>2.0775969962453065</v>
      </c>
      <c r="E9" s="84">
        <v>2.346813725490196</v>
      </c>
      <c r="F9" s="84">
        <v>2.2497048406139317</v>
      </c>
      <c r="G9" s="84">
        <v>2.3831282952548332</v>
      </c>
      <c r="H9" s="84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5">
      <c r="B10" s="86" t="s">
        <v>11</v>
      </c>
      <c r="C10" s="84">
        <v>1.6890243902439024</v>
      </c>
      <c r="D10" s="84">
        <v>1.5677290836653386</v>
      </c>
      <c r="E10" s="84">
        <v>1.8117647058823529</v>
      </c>
      <c r="F10" s="84">
        <v>1.811284046692607</v>
      </c>
      <c r="G10" s="84">
        <v>2.0658914728682172</v>
      </c>
      <c r="H10" s="84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5">
      <c r="B11" s="86" t="s">
        <v>12</v>
      </c>
      <c r="C11" s="84">
        <v>2.3683385579937304</v>
      </c>
      <c r="D11" s="84">
        <v>2.1680782985130813</v>
      </c>
      <c r="E11" s="84">
        <v>2.3957423580786026</v>
      </c>
      <c r="F11" s="84">
        <v>2.20465973851827</v>
      </c>
      <c r="G11" s="84">
        <v>2.1877664808133814</v>
      </c>
      <c r="H11" s="84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85" customHeight="1" x14ac:dyDescent="0.25">
      <c r="B12" s="86" t="s">
        <v>5</v>
      </c>
      <c r="C12" s="84">
        <v>2.806451612903226</v>
      </c>
      <c r="D12" s="84">
        <v>2.7125396106835673</v>
      </c>
      <c r="E12" s="84">
        <v>2.7593790426908149</v>
      </c>
      <c r="F12" s="84">
        <v>2.6427161468614293</v>
      </c>
      <c r="G12" s="84">
        <v>2.2218737749902</v>
      </c>
      <c r="H12" s="84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J13" s="80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5">
      <c r="B15" s="79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/>
      <c r="P16" s="10"/>
      <c r="Q16" s="10"/>
      <c r="T16" s="38" t="s">
        <v>30</v>
      </c>
      <c r="U16" s="39" t="s">
        <v>58</v>
      </c>
    </row>
    <row r="17" spans="1:21" ht="14.85" customHeight="1" x14ac:dyDescent="0.25">
      <c r="B17" s="76" t="s">
        <v>1</v>
      </c>
      <c r="C17" s="92">
        <v>0.76</v>
      </c>
      <c r="D17" s="92">
        <v>0.77</v>
      </c>
      <c r="E17" s="92">
        <v>0.76</v>
      </c>
      <c r="F17" s="92">
        <v>0.74</v>
      </c>
      <c r="G17" s="92">
        <v>0.72</v>
      </c>
      <c r="H17" s="9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28" t="s">
        <v>2</v>
      </c>
      <c r="Q17" s="10"/>
      <c r="T17" s="40" t="s">
        <v>31</v>
      </c>
      <c r="U17" s="41" t="s">
        <v>59</v>
      </c>
    </row>
    <row r="18" spans="1:21" ht="14.85" customHeight="1" x14ac:dyDescent="0.25">
      <c r="B18" s="76" t="s">
        <v>2</v>
      </c>
      <c r="C18" s="92">
        <v>0.62</v>
      </c>
      <c r="D18" s="92">
        <v>0.6</v>
      </c>
      <c r="E18" s="92">
        <v>0.65</v>
      </c>
      <c r="F18" s="92">
        <v>0.66</v>
      </c>
      <c r="G18" s="92">
        <v>0.64</v>
      </c>
      <c r="H18" s="9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85" customHeight="1" x14ac:dyDescent="0.25">
      <c r="B19" s="76" t="s">
        <v>3</v>
      </c>
      <c r="C19" s="92">
        <v>0.12</v>
      </c>
      <c r="D19" s="92">
        <v>0.19</v>
      </c>
      <c r="E19" s="92">
        <v>0.17</v>
      </c>
      <c r="F19" s="92">
        <v>0.22</v>
      </c>
      <c r="G19" s="92">
        <v>0.2</v>
      </c>
      <c r="H19" s="9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4"/>
      <c r="Q19" s="87" t="s">
        <v>1</v>
      </c>
      <c r="T19" s="38" t="s">
        <v>33</v>
      </c>
      <c r="U19" s="44" t="s">
        <v>61</v>
      </c>
    </row>
    <row r="20" spans="1:21" ht="14.85" customHeight="1" x14ac:dyDescent="0.25">
      <c r="B20" s="76" t="s">
        <v>10</v>
      </c>
      <c r="C20" s="92">
        <v>0.48</v>
      </c>
      <c r="D20" s="92">
        <v>0.46</v>
      </c>
      <c r="E20" s="92">
        <v>0.5</v>
      </c>
      <c r="F20" s="92">
        <v>0.47</v>
      </c>
      <c r="G20" s="92">
        <v>0.48</v>
      </c>
      <c r="H20" s="9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85" t="s">
        <v>1</v>
      </c>
      <c r="T20" s="45" t="s">
        <v>34</v>
      </c>
      <c r="U20" s="46" t="s">
        <v>62</v>
      </c>
    </row>
    <row r="21" spans="1:21" ht="14.85" customHeight="1" x14ac:dyDescent="0.25">
      <c r="B21" s="76" t="s">
        <v>4</v>
      </c>
      <c r="C21" s="92">
        <v>0.79</v>
      </c>
      <c r="D21" s="92">
        <v>0.8</v>
      </c>
      <c r="E21" s="92">
        <v>0.82</v>
      </c>
      <c r="F21" s="92">
        <v>0.83</v>
      </c>
      <c r="G21" s="92">
        <v>0.82</v>
      </c>
      <c r="H21" s="9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85" customHeight="1" x14ac:dyDescent="0.25">
      <c r="B22" s="76" t="s">
        <v>11</v>
      </c>
      <c r="C22" s="92">
        <v>0.4</v>
      </c>
      <c r="D22" s="92">
        <v>0.46</v>
      </c>
      <c r="E22" s="92">
        <v>0.46</v>
      </c>
      <c r="F22" s="92">
        <v>0.48</v>
      </c>
      <c r="G22" s="92">
        <v>0.53</v>
      </c>
      <c r="H22" s="9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5">
      <c r="B23" s="76" t="s">
        <v>12</v>
      </c>
      <c r="C23" s="92">
        <v>0.57999999999999996</v>
      </c>
      <c r="D23" s="92">
        <v>0.61</v>
      </c>
      <c r="E23" s="92">
        <v>0.65</v>
      </c>
      <c r="F23" s="92">
        <v>0.7</v>
      </c>
      <c r="G23" s="92">
        <v>0.73</v>
      </c>
      <c r="H23" s="9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5">
      <c r="B24" s="76" t="s">
        <v>5</v>
      </c>
      <c r="C24" s="92">
        <v>0.35</v>
      </c>
      <c r="D24" s="92">
        <v>0.35</v>
      </c>
      <c r="E24" s="92">
        <v>0.41</v>
      </c>
      <c r="F24" s="92">
        <v>0.48</v>
      </c>
      <c r="G24" s="92">
        <v>0.53</v>
      </c>
      <c r="H24" s="9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85" t="s">
        <v>11</v>
      </c>
      <c r="Q25" s="10"/>
      <c r="T25" s="56" t="s">
        <v>39</v>
      </c>
      <c r="U25" s="57" t="s">
        <v>67</v>
      </c>
    </row>
    <row r="26" spans="1:21" s="2" customFormat="1" ht="14.85" customHeight="1" x14ac:dyDescent="0.25">
      <c r="A26" s="6"/>
      <c r="B26" s="77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79" t="s">
        <v>13</v>
      </c>
      <c r="J27" s="73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3"/>
      <c r="K28" s="62"/>
      <c r="T28" s="63" t="s">
        <v>42</v>
      </c>
      <c r="U28" s="64" t="s">
        <v>70</v>
      </c>
    </row>
    <row r="29" spans="1:21" ht="14.85" customHeight="1" x14ac:dyDescent="0.25">
      <c r="B29" s="76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3"/>
      <c r="K29" s="62"/>
      <c r="T29" s="66" t="s">
        <v>43</v>
      </c>
      <c r="U29" s="67" t="s">
        <v>71</v>
      </c>
    </row>
    <row r="30" spans="1:21" ht="14.85" customHeight="1" x14ac:dyDescent="0.25">
      <c r="B30" s="76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3"/>
      <c r="K30" s="62"/>
      <c r="T30" s="68" t="s">
        <v>44</v>
      </c>
      <c r="U30" s="69" t="s">
        <v>72</v>
      </c>
    </row>
    <row r="31" spans="1:21" ht="14.85" customHeight="1" x14ac:dyDescent="0.25">
      <c r="B31" s="76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3"/>
      <c r="K31" s="62"/>
    </row>
    <row r="32" spans="1:21" ht="14.85" customHeight="1" x14ac:dyDescent="0.25">
      <c r="B32" s="76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3"/>
      <c r="K32" s="62"/>
    </row>
    <row r="33" spans="2:11" ht="14.85" customHeight="1" x14ac:dyDescent="0.25">
      <c r="B33" s="76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85" customHeight="1" x14ac:dyDescent="0.25">
      <c r="B34" s="76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85" customHeight="1" x14ac:dyDescent="0.25">
      <c r="B35" s="76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85" customHeight="1" x14ac:dyDescent="0.25">
      <c r="B36" s="76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5">
      <c r="B39" s="77"/>
    </row>
    <row r="42" spans="2:11" ht="14.85" customHeight="1" x14ac:dyDescent="0.25">
      <c r="B42" s="77"/>
      <c r="J42" s="13"/>
    </row>
    <row r="43" spans="2:11" ht="14.85" customHeight="1" x14ac:dyDescent="0.25">
      <c r="B43" s="77"/>
      <c r="F43" s="13"/>
      <c r="G43" s="13"/>
      <c r="H43" s="13"/>
      <c r="I43" s="13"/>
      <c r="K43" s="13"/>
    </row>
    <row r="44" spans="2:11" ht="14.85" customHeight="1" x14ac:dyDescent="0.25">
      <c r="B44" s="77"/>
    </row>
    <row r="45" spans="2:11" ht="14.85" customHeight="1" x14ac:dyDescent="0.25">
      <c r="B45" s="77"/>
    </row>
    <row r="46" spans="2:11" ht="14.85" customHeight="1" x14ac:dyDescent="0.25">
      <c r="B46" s="77"/>
    </row>
    <row r="47" spans="2:11" ht="14.85" customHeight="1" x14ac:dyDescent="0.25">
      <c r="B47" s="77"/>
    </row>
    <row r="49" spans="2:5" ht="14.85" customHeight="1" x14ac:dyDescent="0.25">
      <c r="B49" s="77"/>
    </row>
    <row r="50" spans="2:5" ht="14.85" customHeight="1" x14ac:dyDescent="0.25">
      <c r="B50" s="77"/>
    </row>
    <row r="51" spans="2:5" ht="14.85" customHeight="1" x14ac:dyDescent="0.25">
      <c r="B51" s="77"/>
    </row>
    <row r="52" spans="2:5" ht="14.85" customHeight="1" x14ac:dyDescent="0.25">
      <c r="C52" s="70"/>
      <c r="D52" s="70"/>
      <c r="E52" s="70"/>
    </row>
    <row r="63" spans="2:5" ht="14.85" customHeight="1" x14ac:dyDescent="0.25">
      <c r="B63" s="78" t="s">
        <v>6</v>
      </c>
    </row>
  </sheetData>
  <phoneticPr fontId="23" type="noConversion"/>
  <conditionalFormatting sqref="E29:E36">
    <cfRule type="colorScale" priority="28">
      <colorScale>
        <cfvo type="min"/>
        <cfvo type="max"/>
        <color theme="5" tint="0.39997558519241921"/>
        <color theme="3"/>
      </colorScale>
    </cfRule>
  </conditionalFormatting>
  <conditionalFormatting sqref="C17:H24">
    <cfRule type="dataBar" priority="27">
      <dataBar>
        <cfvo type="min"/>
        <cfvo type="max"/>
        <color rgb="FF1D1D1D"/>
      </dataBar>
      <extLst>
        <ext xmlns:x14="http://schemas.microsoft.com/office/spreadsheetml/2009/9/main" uri="{B025F937-C7B1-47D3-B67F-A62EFF666E3E}">
          <x14:id>{C0537489-2E91-4439-9559-30D875FAAC0C}</x14:id>
        </ext>
      </extLst>
    </cfRule>
  </conditionalFormatting>
  <conditionalFormatting sqref="C5:H12">
    <cfRule type="top10" dxfId="18" priority="1" bottom="1" rank="5"/>
  </conditionalFormatting>
  <conditionalFormatting sqref="B5:B12">
    <cfRule type="duplicateValues" dxfId="17" priority="24"/>
  </conditionalFormatting>
  <conditionalFormatting sqref="D29:D36">
    <cfRule type="cellIs" dxfId="16" priority="23" operator="lessThan">
      <formula>0.48</formula>
    </cfRule>
  </conditionalFormatting>
  <conditionalFormatting sqref="O11">
    <cfRule type="expression" dxfId="15" priority="22">
      <formula>O9=$K$1</formula>
    </cfRule>
    <cfRule type="expression" dxfId="14" priority="21">
      <formula>O10=$K$1</formula>
    </cfRule>
  </conditionalFormatting>
  <conditionalFormatting sqref="P11">
    <cfRule type="expression" dxfId="13" priority="17">
      <formula>P10=$K$1</formula>
    </cfRule>
    <cfRule type="expression" dxfId="12" priority="18">
      <formula>P9=$K$1</formula>
    </cfRule>
  </conditionalFormatting>
  <conditionalFormatting sqref="O16:O17">
    <cfRule type="expression" dxfId="11" priority="13">
      <formula>O15=$K$1</formula>
    </cfRule>
    <cfRule type="expression" dxfId="10" priority="14">
      <formula>O14=$K$1</formula>
    </cfRule>
  </conditionalFormatting>
  <conditionalFormatting sqref="P17:P18">
    <cfRule type="expression" dxfId="9" priority="9">
      <formula>P17=$K$1</formula>
    </cfRule>
    <cfRule type="expression" dxfId="8" priority="10">
      <formula>P16=$K$1</formula>
    </cfRule>
  </conditionalFormatting>
  <conditionalFormatting sqref="P20">
    <cfRule type="expression" dxfId="7" priority="8">
      <formula>Q20=$K$1</formula>
    </cfRule>
  </conditionalFormatting>
  <conditionalFormatting sqref="P25">
    <cfRule type="expression" dxfId="6" priority="6">
      <formula>P24=$K$1</formula>
    </cfRule>
    <cfRule type="expression" dxfId="5" priority="7">
      <formula>P23=$K$1</formula>
    </cfRule>
  </conditionalFormatting>
  <conditionalFormatting sqref="P22">
    <cfRule type="expression" dxfId="4" priority="4">
      <formula>P21=$K$1</formula>
    </cfRule>
    <cfRule type="expression" dxfId="3" priority="5">
      <formula>P20=$K$1</formula>
    </cfRule>
  </conditionalFormatting>
  <conditionalFormatting sqref="M14:M15">
    <cfRule type="expression" dxfId="2" priority="3">
      <formula>N13=$K$1</formula>
    </cfRule>
  </conditionalFormatting>
  <conditionalFormatting sqref="N14:N15">
    <cfRule type="expression" dxfId="1" priority="2">
      <formula>N13=$K$1</formula>
    </cfRule>
  </conditionalFormatting>
  <conditionalFormatting sqref="B5:I12">
    <cfRule type="expression" dxfId="0" priority="25">
      <formula>$B5=$K$1</formula>
    </cfRule>
  </conditionalFormatting>
  <dataValidations count="1">
    <dataValidation type="list" allowBlank="1" showInputMessage="1" showErrorMessage="1" sqref="K1">
      <formula1>State_Territory</formula1>
    </dataValidation>
  </dataValidations>
  <hyperlinks>
    <hyperlink ref="B63" r:id="rId1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537489-2E91-4439-9559-30D875FAAC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26" id="{5BC8FF14-FFED-4CFB-A983-5841A06B2A3B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FF0000"/>
          <x14:colorLow rgb="FFD00000"/>
          <x14:sparklines>
            <x14:sparkline>
              <xm:f>'State Waste Management'!C5:H5</xm:f>
              <xm:sqref>J5</xm:sqref>
            </x14:sparkline>
            <x14:sparkline>
              <xm:f>'State Waste Management'!C6:H6</xm:f>
              <xm:sqref>J6</xm:sqref>
            </x14:sparkline>
            <x14:sparkline>
              <xm:f>'State Waste Management'!C7:H7</xm:f>
              <xm:sqref>J7</xm:sqref>
            </x14:sparkline>
            <x14:sparkline>
              <xm:f>'State Waste Management'!C8:H8</xm:f>
              <xm:sqref>J8</xm:sqref>
            </x14:sparkline>
            <x14:sparkline>
              <xm:f>'State Waste Management'!C9:H9</xm:f>
              <xm:sqref>J9</xm:sqref>
            </x14:sparkline>
            <x14:sparkline>
              <xm:f>'State Waste Management'!C10:H10</xm:f>
              <xm:sqref>J10</xm:sqref>
            </x14:sparkline>
            <x14:sparkline>
              <xm:f>'State Waste Management'!C11:H11</xm:f>
              <xm:sqref>J11</xm:sqref>
            </x14:sparkline>
            <x14:sparkline>
              <xm:f>'State Waste Management'!C12:H12</xm:f>
              <xm:sqref>J12</xm:sqref>
            </x14:sparkline>
          </x14:sparklines>
        </x14:sparklineGroup>
        <x14:sparklineGroup type="column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Documentation</vt:lpstr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priyanka nagar</cp:lastModifiedBy>
  <dcterms:created xsi:type="dcterms:W3CDTF">2020-03-03T02:51:49Z</dcterms:created>
  <dcterms:modified xsi:type="dcterms:W3CDTF">2024-02-05T20:11:42Z</dcterms:modified>
</cp:coreProperties>
</file>
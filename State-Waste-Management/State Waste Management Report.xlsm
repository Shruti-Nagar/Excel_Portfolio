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Priyanka_Nagar\OneDrive\Desktop\New folder\"/>
    </mc:Choice>
  </mc:AlternateContent>
  <bookViews>
    <workbookView xWindow="0" yWindow="0" windowWidth="20490" windowHeight="7650"/>
  </bookViews>
  <sheets>
    <sheet name="Waste Management Report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9" i="1" l="1"/>
  <c r="J23" i="1"/>
  <c r="P6" i="1"/>
  <c r="P7" i="1"/>
  <c r="P8" i="1"/>
  <c r="P9" i="1"/>
  <c r="P10" i="1"/>
  <c r="P11" i="1"/>
  <c r="P12" i="1"/>
  <c r="P5" i="1"/>
  <c r="I18" i="1"/>
  <c r="J18" i="1" s="1"/>
  <c r="I19" i="1"/>
  <c r="I20" i="1"/>
  <c r="J20" i="1" s="1"/>
  <c r="I21" i="1"/>
  <c r="J21" i="1" s="1"/>
  <c r="I22" i="1"/>
  <c r="J22" i="1" s="1"/>
  <c r="I23" i="1"/>
  <c r="I24" i="1"/>
  <c r="J24" i="1" s="1"/>
  <c r="I17" i="1"/>
  <c r="J17" i="1" s="1"/>
  <c r="I6" i="1"/>
  <c r="I7" i="1"/>
  <c r="I8" i="1"/>
  <c r="I9" i="1"/>
  <c r="I10" i="1"/>
  <c r="I11" i="1"/>
  <c r="I12" i="1"/>
  <c r="I5" i="1"/>
</calcChain>
</file>

<file path=xl/sharedStrings.xml><?xml version="1.0" encoding="utf-8"?>
<sst xmlns="http://schemas.openxmlformats.org/spreadsheetml/2006/main" count="47" uniqueCount="19">
  <si>
    <t>Core Waste Ton PC</t>
  </si>
  <si>
    <t>State/Territory</t>
  </si>
  <si>
    <t>ACT</t>
  </si>
  <si>
    <t>NSW</t>
  </si>
  <si>
    <t>NT</t>
  </si>
  <si>
    <t>QLD</t>
  </si>
  <si>
    <t>SA</t>
  </si>
  <si>
    <t>TAS</t>
  </si>
  <si>
    <t>VIC</t>
  </si>
  <si>
    <t>WA</t>
  </si>
  <si>
    <t>CAGR</t>
  </si>
  <si>
    <t>Resource Recovery rates by Region</t>
  </si>
  <si>
    <t>Australian State Waste Management - Report</t>
  </si>
  <si>
    <t>Resource Recovery &amp; Recycling rates 2016-17</t>
  </si>
  <si>
    <t>Recovery</t>
  </si>
  <si>
    <t>Recycling</t>
  </si>
  <si>
    <t>Landfill</t>
  </si>
  <si>
    <t>Select State :</t>
  </si>
  <si>
    <r>
      <rPr>
        <sz val="12"/>
        <color rgb="FF00CC00"/>
        <rFont val="Poppins"/>
      </rPr>
      <t>•</t>
    </r>
    <r>
      <rPr>
        <sz val="12"/>
        <color theme="1"/>
        <rFont val="Poppins"/>
      </rPr>
      <t xml:space="preserve"> </t>
    </r>
    <r>
      <rPr>
        <sz val="12"/>
        <color theme="4" tint="0.79998168889431442"/>
        <rFont val="Poppins"/>
      </rPr>
      <t>Click on Circles to highlight state based data (It will only work when macros are enabled)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</si>
</sst>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1" formatCode="0.0%"/>
  </numFmts>
  <fonts count="1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Poppins"/>
    </font>
    <font>
      <sz val="12"/>
      <color theme="1"/>
      <name val="Poppins"/>
    </font>
    <font>
      <sz val="18"/>
      <color rgb="FF0F76C6"/>
      <name val="Poppins"/>
    </font>
    <font>
      <sz val="12"/>
      <color rgb="FF0F76C6"/>
      <name val="Poppins"/>
    </font>
    <font>
      <sz val="10"/>
      <color theme="0"/>
      <name val="Poppins"/>
    </font>
    <font>
      <sz val="10"/>
      <color rgb="FF0F76C6"/>
      <name val="Poppins"/>
    </font>
    <font>
      <b/>
      <sz val="11"/>
      <color theme="0"/>
      <name val="Poppins"/>
    </font>
    <font>
      <b/>
      <sz val="10"/>
      <color theme="1"/>
      <name val="Poppins"/>
    </font>
    <font>
      <sz val="10"/>
      <color theme="0" tint="-0.14999847407452621"/>
      <name val="Poppins"/>
    </font>
    <font>
      <sz val="11"/>
      <color theme="4" tint="0.79998168889431442"/>
      <name val="Poppins"/>
    </font>
    <font>
      <sz val="12"/>
      <color theme="4" tint="0.79998168889431442"/>
      <name val="Poppins"/>
    </font>
    <font>
      <sz val="10"/>
      <color theme="0" tint="-0.499984740745262"/>
      <name val="Poppins"/>
    </font>
    <font>
      <sz val="12"/>
      <color rgb="FF00CC00"/>
      <name val="Poppins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8">
    <xf numFmtId="0" fontId="0" fillId="0" borderId="0" xfId="0"/>
    <xf numFmtId="0" fontId="2" fillId="2" borderId="0" xfId="0" applyFont="1" applyFill="1"/>
    <xf numFmtId="0" fontId="4" fillId="2" borderId="0" xfId="0" applyFont="1" applyFill="1" applyAlignment="1">
      <alignment horizontal="left" vertical="top"/>
    </xf>
    <xf numFmtId="0" fontId="5" fillId="2" borderId="0" xfId="0" applyFont="1" applyFill="1" applyAlignment="1">
      <alignment horizontal="left" vertical="center"/>
    </xf>
    <xf numFmtId="0" fontId="8" fillId="2" borderId="0" xfId="0" applyFont="1" applyFill="1"/>
    <xf numFmtId="0" fontId="7" fillId="2" borderId="0" xfId="0" applyFont="1" applyFill="1"/>
    <xf numFmtId="2" fontId="6" fillId="2" borderId="0" xfId="0" applyNumberFormat="1" applyFont="1" applyFill="1" applyAlignment="1">
      <alignment horizontal="center"/>
    </xf>
    <xf numFmtId="0" fontId="8" fillId="2" borderId="0" xfId="0" applyFont="1" applyFill="1" applyAlignment="1">
      <alignment horizontal="center" vertical="center"/>
    </xf>
    <xf numFmtId="9" fontId="9" fillId="2" borderId="0" xfId="1" applyFont="1" applyFill="1" applyAlignment="1">
      <alignment horizontal="left"/>
    </xf>
    <xf numFmtId="171" fontId="10" fillId="2" borderId="0" xfId="0" applyNumberFormat="1" applyFont="1" applyFill="1" applyAlignment="1">
      <alignment horizontal="center"/>
    </xf>
    <xf numFmtId="171" fontId="6" fillId="2" borderId="0" xfId="1" applyNumberFormat="1" applyFont="1" applyFill="1" applyAlignment="1">
      <alignment horizontal="center"/>
    </xf>
    <xf numFmtId="9" fontId="6" fillId="2" borderId="0" xfId="1" applyFont="1" applyFill="1" applyAlignment="1">
      <alignment horizontal="center"/>
    </xf>
    <xf numFmtId="9" fontId="2" fillId="2" borderId="0" xfId="1" applyFont="1" applyFill="1" applyAlignment="1">
      <alignment horizontal="center"/>
    </xf>
    <xf numFmtId="0" fontId="11" fillId="2" borderId="0" xfId="0" applyFont="1" applyFill="1" applyAlignment="1">
      <alignment horizontal="center"/>
    </xf>
    <xf numFmtId="0" fontId="12" fillId="2" borderId="0" xfId="0" applyFont="1" applyFill="1" applyAlignment="1">
      <alignment horizontal="center"/>
    </xf>
    <xf numFmtId="0" fontId="13" fillId="2" borderId="0" xfId="0" applyFont="1" applyFill="1"/>
    <xf numFmtId="0" fontId="13" fillId="2" borderId="0" xfId="0" applyFont="1" applyFill="1" applyAlignment="1">
      <alignment horizontal="center"/>
    </xf>
    <xf numFmtId="0" fontId="3" fillId="2" borderId="0" xfId="0" applyFont="1" applyFill="1"/>
  </cellXfs>
  <cellStyles count="2">
    <cellStyle name="Normal" xfId="0" builtinId="0"/>
    <cellStyle name="Percent" xfId="1" builtinId="5"/>
  </cellStyles>
  <dxfs count="17">
    <dxf>
      <fill>
        <patternFill>
          <bgColor rgb="FF0070C0"/>
        </patternFill>
      </fill>
    </dxf>
    <dxf>
      <fill>
        <patternFill>
          <bgColor rgb="FF0070C0"/>
        </patternFill>
      </fill>
    </dxf>
    <dxf>
      <fill>
        <patternFill>
          <bgColor rgb="FF0070C0"/>
        </patternFill>
      </fill>
    </dxf>
    <dxf>
      <fill>
        <patternFill>
          <bgColor rgb="FF0070C0"/>
        </patternFill>
      </fill>
    </dxf>
    <dxf>
      <fill>
        <patternFill>
          <bgColor rgb="FF0070C0"/>
        </patternFill>
      </fill>
    </dxf>
    <dxf>
      <fill>
        <patternFill>
          <bgColor rgb="FF0070C0"/>
        </patternFill>
      </fill>
    </dxf>
    <dxf>
      <fill>
        <patternFill>
          <bgColor rgb="FF0070C0"/>
        </patternFill>
      </fill>
    </dxf>
    <dxf>
      <fill>
        <patternFill>
          <bgColor rgb="FF0070C0"/>
        </patternFill>
      </fill>
    </dxf>
    <dxf>
      <fill>
        <patternFill>
          <bgColor rgb="FF0070C0"/>
        </patternFill>
      </fill>
    </dxf>
    <dxf>
      <fill>
        <patternFill>
          <bgColor rgb="FF0070C0"/>
        </patternFill>
      </fill>
    </dxf>
    <dxf>
      <fill>
        <patternFill>
          <bgColor rgb="FF0070C0"/>
        </patternFill>
      </fill>
    </dxf>
    <dxf>
      <fill>
        <patternFill>
          <bgColor rgb="FF0070C0"/>
        </patternFill>
      </fill>
    </dxf>
    <dxf>
      <fill>
        <patternFill>
          <bgColor rgb="FF0070C0"/>
        </patternFill>
      </fill>
    </dxf>
    <dxf>
      <border>
        <left/>
        <right/>
        <top style="thin">
          <color theme="3" tint="0.39994506668294322"/>
        </top>
        <bottom style="thin">
          <color theme="3" tint="0.39994506668294322"/>
        </bottom>
        <vertical/>
        <horizontal/>
      </border>
    </dxf>
    <dxf>
      <fill>
        <patternFill>
          <bgColor rgb="FF0070C0"/>
        </patternFill>
      </fill>
    </dxf>
    <dxf>
      <font>
        <color theme="1"/>
      </font>
      <fill>
        <patternFill>
          <bgColor rgb="FF0070C0"/>
        </patternFill>
      </fill>
    </dxf>
    <dxf>
      <font>
        <color theme="1"/>
      </font>
      <fill>
        <patternFill>
          <bgColor rgb="FF33CC33"/>
        </patternFill>
      </fill>
    </dxf>
  </dxfs>
  <tableStyles count="0" defaultTableStyle="TableStyleMedium2" defaultPivotStyle="PivotStyleLight16"/>
  <colors>
    <mruColors>
      <color rgb="FF0F76C6"/>
      <color rgb="FF6DA6D9"/>
      <color rgb="FF00CC00"/>
      <color rgb="FF00FF00"/>
      <color rgb="FFFF0000"/>
      <color rgb="FF33CC33"/>
      <color rgb="FFFF2525"/>
      <color rgb="FFF20000"/>
      <color rgb="FFFF5050"/>
      <color rgb="FF4BFF4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192910</xdr:colOff>
      <xdr:row>14</xdr:row>
      <xdr:rowOff>103254</xdr:rowOff>
    </xdr:from>
    <xdr:to>
      <xdr:col>15</xdr:col>
      <xdr:colOff>467148</xdr:colOff>
      <xdr:row>29</xdr:row>
      <xdr:rowOff>13286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18AF4BB-0CCE-4EE2-9F6E-20C08B4B79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31517" y="3613897"/>
          <a:ext cx="3716845" cy="3638389"/>
        </a:xfrm>
        <a:prstGeom prst="rect">
          <a:avLst/>
        </a:prstGeom>
      </xdr:spPr>
    </xdr:pic>
    <xdr:clientData/>
  </xdr:twoCellAnchor>
  <xdr:twoCellAnchor>
    <xdr:from>
      <xdr:col>13</xdr:col>
      <xdr:colOff>212912</xdr:colOff>
      <xdr:row>18</xdr:row>
      <xdr:rowOff>145678</xdr:rowOff>
    </xdr:from>
    <xdr:to>
      <xdr:col>13</xdr:col>
      <xdr:colOff>350072</xdr:colOff>
      <xdr:row>19</xdr:row>
      <xdr:rowOff>36308</xdr:rowOff>
    </xdr:to>
    <xdr:sp macro="[0]!NT" textlink="">
      <xdr:nvSpPr>
        <xdr:cNvPr id="3" name="Oval 2"/>
        <xdr:cNvSpPr/>
      </xdr:nvSpPr>
      <xdr:spPr>
        <a:xfrm>
          <a:off x="11506841" y="4717678"/>
          <a:ext cx="137160" cy="135559"/>
        </a:xfrm>
        <a:prstGeom prst="ellipse">
          <a:avLst/>
        </a:prstGeom>
        <a:noFill/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275664</xdr:colOff>
      <xdr:row>20</xdr:row>
      <xdr:rowOff>174810</xdr:rowOff>
    </xdr:from>
    <xdr:to>
      <xdr:col>12</xdr:col>
      <xdr:colOff>412824</xdr:colOff>
      <xdr:row>21</xdr:row>
      <xdr:rowOff>65441</xdr:rowOff>
    </xdr:to>
    <xdr:sp macro="[0]!WA" textlink="">
      <xdr:nvSpPr>
        <xdr:cNvPr id="4" name="Oval 3"/>
        <xdr:cNvSpPr/>
      </xdr:nvSpPr>
      <xdr:spPr>
        <a:xfrm>
          <a:off x="10428193" y="5318310"/>
          <a:ext cx="137160" cy="137160"/>
        </a:xfrm>
        <a:prstGeom prst="ellipse">
          <a:avLst/>
        </a:prstGeom>
        <a:noFill/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313607</xdr:colOff>
      <xdr:row>22</xdr:row>
      <xdr:rowOff>47065</xdr:rowOff>
    </xdr:from>
    <xdr:to>
      <xdr:col>13</xdr:col>
      <xdr:colOff>450767</xdr:colOff>
      <xdr:row>22</xdr:row>
      <xdr:rowOff>184225</xdr:rowOff>
    </xdr:to>
    <xdr:sp macro="[0]!SA" textlink="">
      <xdr:nvSpPr>
        <xdr:cNvPr id="5" name="Oval 4"/>
        <xdr:cNvSpPr/>
      </xdr:nvSpPr>
      <xdr:spPr>
        <a:xfrm>
          <a:off x="11607536" y="5598779"/>
          <a:ext cx="137160" cy="137160"/>
        </a:xfrm>
        <a:prstGeom prst="ellipse">
          <a:avLst/>
        </a:prstGeom>
        <a:noFill/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291513</xdr:colOff>
      <xdr:row>18</xdr:row>
      <xdr:rowOff>143435</xdr:rowOff>
    </xdr:from>
    <xdr:to>
      <xdr:col>14</xdr:col>
      <xdr:colOff>428673</xdr:colOff>
      <xdr:row>19</xdr:row>
      <xdr:rowOff>34065</xdr:rowOff>
    </xdr:to>
    <xdr:sp macro="[0]!QLD" textlink="">
      <xdr:nvSpPr>
        <xdr:cNvPr id="6" name="Oval 5"/>
        <xdr:cNvSpPr/>
      </xdr:nvSpPr>
      <xdr:spPr>
        <a:xfrm>
          <a:off x="12429084" y="4715435"/>
          <a:ext cx="137160" cy="135559"/>
        </a:xfrm>
        <a:prstGeom prst="ellipse">
          <a:avLst/>
        </a:prstGeom>
        <a:noFill/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387885</xdr:colOff>
      <xdr:row>27</xdr:row>
      <xdr:rowOff>161368</xdr:rowOff>
    </xdr:from>
    <xdr:to>
      <xdr:col>14</xdr:col>
      <xdr:colOff>525045</xdr:colOff>
      <xdr:row>28</xdr:row>
      <xdr:rowOff>51999</xdr:rowOff>
    </xdr:to>
    <xdr:sp macro="[0]!TAS" textlink="">
      <xdr:nvSpPr>
        <xdr:cNvPr id="7" name="Oval 6"/>
        <xdr:cNvSpPr/>
      </xdr:nvSpPr>
      <xdr:spPr>
        <a:xfrm>
          <a:off x="12525456" y="6937725"/>
          <a:ext cx="137160" cy="135560"/>
        </a:xfrm>
        <a:prstGeom prst="ellipse">
          <a:avLst/>
        </a:prstGeom>
        <a:noFill/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280148</xdr:colOff>
      <xdr:row>25</xdr:row>
      <xdr:rowOff>136871</xdr:rowOff>
    </xdr:from>
    <xdr:to>
      <xdr:col>14</xdr:col>
      <xdr:colOff>417308</xdr:colOff>
      <xdr:row>26</xdr:row>
      <xdr:rowOff>27502</xdr:rowOff>
    </xdr:to>
    <xdr:sp macro="[0]!VIC" textlink="">
      <xdr:nvSpPr>
        <xdr:cNvPr id="8" name="Oval 7"/>
        <xdr:cNvSpPr/>
      </xdr:nvSpPr>
      <xdr:spPr>
        <a:xfrm>
          <a:off x="12417719" y="6423371"/>
          <a:ext cx="137160" cy="135560"/>
        </a:xfrm>
        <a:prstGeom prst="ellipse">
          <a:avLst/>
        </a:prstGeom>
        <a:noFill/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647859</xdr:colOff>
      <xdr:row>24</xdr:row>
      <xdr:rowOff>118782</xdr:rowOff>
    </xdr:from>
    <xdr:to>
      <xdr:col>14</xdr:col>
      <xdr:colOff>785019</xdr:colOff>
      <xdr:row>25</xdr:row>
      <xdr:rowOff>9413</xdr:rowOff>
    </xdr:to>
    <xdr:sp macro="[0]!ACT" textlink="">
      <xdr:nvSpPr>
        <xdr:cNvPr id="9" name="Oval 8"/>
        <xdr:cNvSpPr/>
      </xdr:nvSpPr>
      <xdr:spPr>
        <a:xfrm>
          <a:off x="12785430" y="6160353"/>
          <a:ext cx="137160" cy="135560"/>
        </a:xfrm>
        <a:prstGeom prst="ellipse">
          <a:avLst/>
        </a:prstGeom>
        <a:noFill/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279984</xdr:colOff>
      <xdr:row>22</xdr:row>
      <xdr:rowOff>226354</xdr:rowOff>
    </xdr:from>
    <xdr:to>
      <xdr:col>14</xdr:col>
      <xdr:colOff>417144</xdr:colOff>
      <xdr:row>23</xdr:row>
      <xdr:rowOff>116985</xdr:rowOff>
    </xdr:to>
    <xdr:sp macro="[0]!NSW" textlink="">
      <xdr:nvSpPr>
        <xdr:cNvPr id="10" name="Oval 9"/>
        <xdr:cNvSpPr/>
      </xdr:nvSpPr>
      <xdr:spPr>
        <a:xfrm>
          <a:off x="12417555" y="5778068"/>
          <a:ext cx="137160" cy="135560"/>
        </a:xfrm>
        <a:prstGeom prst="ellipse">
          <a:avLst/>
        </a:prstGeom>
        <a:noFill/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P29"/>
  <sheetViews>
    <sheetView tabSelected="1" zoomScale="70" zoomScaleNormal="70" workbookViewId="0">
      <selection activeCell="G25" sqref="G25"/>
    </sheetView>
  </sheetViews>
  <sheetFormatPr defaultRowHeight="19.5" x14ac:dyDescent="0.55000000000000004"/>
  <cols>
    <col min="1" max="1" width="0.85546875" style="1" customWidth="1"/>
    <col min="2" max="2" width="17.28515625" style="1" customWidth="1"/>
    <col min="3" max="8" width="14.28515625" style="1" bestFit="1" customWidth="1"/>
    <col min="9" max="9" width="15.140625" style="1" bestFit="1" customWidth="1"/>
    <col min="10" max="10" width="15.140625" style="1" customWidth="1"/>
    <col min="11" max="12" width="9" style="1" customWidth="1"/>
    <col min="13" max="13" width="17.42578125" style="1" customWidth="1"/>
    <col min="14" max="16" width="12.7109375" style="1" customWidth="1"/>
    <col min="17" max="16384" width="9.140625" style="1"/>
  </cols>
  <sheetData>
    <row r="1" spans="2:16" ht="30" customHeight="1" x14ac:dyDescent="0.65">
      <c r="B1" s="2" t="s">
        <v>12</v>
      </c>
      <c r="I1" s="13" t="s">
        <v>17</v>
      </c>
      <c r="J1" s="14" t="s">
        <v>2</v>
      </c>
    </row>
    <row r="2" spans="2:16" ht="4.5" customHeight="1" x14ac:dyDescent="0.55000000000000004"/>
    <row r="3" spans="2:16" ht="23.25" x14ac:dyDescent="0.55000000000000004">
      <c r="B3" s="3" t="s">
        <v>0</v>
      </c>
      <c r="M3" s="3" t="s">
        <v>13</v>
      </c>
    </row>
    <row r="4" spans="2:16" ht="21.75" x14ac:dyDescent="0.6">
      <c r="B4" s="4" t="s">
        <v>1</v>
      </c>
      <c r="C4" s="7">
        <v>2007</v>
      </c>
      <c r="D4" s="7">
        <v>2009</v>
      </c>
      <c r="E4" s="7">
        <v>2011</v>
      </c>
      <c r="F4" s="7">
        <v>2013</v>
      </c>
      <c r="G4" s="7">
        <v>2015</v>
      </c>
      <c r="H4" s="7">
        <v>2017</v>
      </c>
      <c r="I4" s="7" t="s">
        <v>10</v>
      </c>
      <c r="M4" s="4" t="s">
        <v>1</v>
      </c>
      <c r="N4" s="7" t="s">
        <v>14</v>
      </c>
      <c r="O4" s="7" t="s">
        <v>15</v>
      </c>
      <c r="P4" s="7" t="s">
        <v>16</v>
      </c>
    </row>
    <row r="5" spans="2:16" x14ac:dyDescent="0.55000000000000004">
      <c r="B5" s="5" t="s">
        <v>2</v>
      </c>
      <c r="C5" s="6">
        <v>2.0828402366863905</v>
      </c>
      <c r="D5" s="6">
        <v>2.0398860398860399</v>
      </c>
      <c r="E5" s="6">
        <v>2.4438356164383563</v>
      </c>
      <c r="F5" s="6">
        <v>1.8091603053435115</v>
      </c>
      <c r="G5" s="6">
        <v>2.1825000000000001</v>
      </c>
      <c r="H5" s="6">
        <v>2.3177339901477834</v>
      </c>
      <c r="I5" s="10">
        <f>(H5/C5)^(1/10)-1</f>
        <v>1.0743048481739459E-2</v>
      </c>
      <c r="M5" s="5" t="s">
        <v>2</v>
      </c>
      <c r="N5" s="11">
        <v>0.04</v>
      </c>
      <c r="O5" s="11">
        <v>0.49</v>
      </c>
      <c r="P5" s="12">
        <f>1-(N5+O5)</f>
        <v>0.47</v>
      </c>
    </row>
    <row r="6" spans="2:16" x14ac:dyDescent="0.55000000000000004">
      <c r="B6" s="5" t="s">
        <v>3</v>
      </c>
      <c r="C6" s="6">
        <v>2.3376068376068377</v>
      </c>
      <c r="D6" s="6">
        <v>2.6406740931162527</v>
      </c>
      <c r="E6" s="6">
        <v>2.4350974930362117</v>
      </c>
      <c r="F6" s="6">
        <v>2.3359302786214182</v>
      </c>
      <c r="G6" s="6">
        <v>2.3366749121208175</v>
      </c>
      <c r="H6" s="6">
        <v>2.319312644267761</v>
      </c>
      <c r="I6" s="10">
        <f t="shared" ref="I6:I12" si="0">(H6/C6)^(1/10)-1</f>
        <v>-7.8537336340878117E-4</v>
      </c>
      <c r="M6" s="5" t="s">
        <v>3</v>
      </c>
      <c r="N6" s="11">
        <v>0.04</v>
      </c>
      <c r="O6" s="11">
        <v>0.59</v>
      </c>
      <c r="P6" s="12">
        <f t="shared" ref="P6:P12" si="1">1-(N6+O6)</f>
        <v>0.37</v>
      </c>
    </row>
    <row r="7" spans="2:16" x14ac:dyDescent="0.55000000000000004">
      <c r="B7" s="5" t="s">
        <v>4</v>
      </c>
      <c r="C7" s="6">
        <v>2.5023696682464456</v>
      </c>
      <c r="D7" s="6">
        <v>1.6771300448430493</v>
      </c>
      <c r="E7" s="6">
        <v>1.6130434782608696</v>
      </c>
      <c r="F7" s="6">
        <v>1.9506172839506173</v>
      </c>
      <c r="G7" s="6">
        <v>1.9959016393442623</v>
      </c>
      <c r="H7" s="6">
        <v>1.416326530612245</v>
      </c>
      <c r="I7" s="10">
        <f t="shared" si="0"/>
        <v>-5.5327675408438859E-2</v>
      </c>
      <c r="M7" s="5" t="s">
        <v>4</v>
      </c>
      <c r="N7" s="11">
        <v>0.04</v>
      </c>
      <c r="O7" s="11">
        <v>0.11</v>
      </c>
      <c r="P7" s="12">
        <f t="shared" si="1"/>
        <v>0.85</v>
      </c>
    </row>
    <row r="8" spans="2:16" x14ac:dyDescent="0.55000000000000004">
      <c r="B8" s="5" t="s">
        <v>5</v>
      </c>
      <c r="C8" s="6">
        <v>2.363412228796844</v>
      </c>
      <c r="D8" s="6">
        <v>2.2832086061739942</v>
      </c>
      <c r="E8" s="6">
        <v>2.0538652242506199</v>
      </c>
      <c r="F8" s="6">
        <v>2.2293288449400377</v>
      </c>
      <c r="G8" s="6">
        <v>2.1446083523789734</v>
      </c>
      <c r="H8" s="6">
        <v>2.3024160524160524</v>
      </c>
      <c r="I8" s="10">
        <f t="shared" si="0"/>
        <v>-2.6113250720505299E-3</v>
      </c>
      <c r="M8" s="5" t="s">
        <v>5</v>
      </c>
      <c r="N8" s="11">
        <v>0.03</v>
      </c>
      <c r="O8" s="11">
        <v>0.44</v>
      </c>
      <c r="P8" s="12">
        <f t="shared" si="1"/>
        <v>0.53</v>
      </c>
    </row>
    <row r="9" spans="2:16" x14ac:dyDescent="0.55000000000000004">
      <c r="B9" s="5" t="s">
        <v>6</v>
      </c>
      <c r="C9" s="6">
        <v>1.9955156950672646</v>
      </c>
      <c r="D9" s="6">
        <v>2.0775969962453065</v>
      </c>
      <c r="E9" s="6">
        <v>2.346813725490196</v>
      </c>
      <c r="F9" s="6">
        <v>2.2497048406139317</v>
      </c>
      <c r="G9" s="6">
        <v>2.3831282952548332</v>
      </c>
      <c r="H9" s="6">
        <v>2.3494467093768199</v>
      </c>
      <c r="I9" s="10">
        <f t="shared" si="0"/>
        <v>1.6461760604046694E-2</v>
      </c>
      <c r="M9" s="5" t="s">
        <v>6</v>
      </c>
      <c r="N9" s="11">
        <v>0.04</v>
      </c>
      <c r="O9" s="11">
        <v>0.78</v>
      </c>
      <c r="P9" s="12">
        <f t="shared" si="1"/>
        <v>0.17999999999999994</v>
      </c>
    </row>
    <row r="10" spans="2:16" x14ac:dyDescent="0.55000000000000004">
      <c r="B10" s="5" t="s">
        <v>7</v>
      </c>
      <c r="C10" s="6">
        <v>1.6890243902439024</v>
      </c>
      <c r="D10" s="6">
        <v>1.5677290836653386</v>
      </c>
      <c r="E10" s="6">
        <v>1.8117647058823529</v>
      </c>
      <c r="F10" s="6">
        <v>1.811284046692607</v>
      </c>
      <c r="G10" s="6">
        <v>2.0658914728682172</v>
      </c>
      <c r="H10" s="6">
        <v>1.8073217726396917</v>
      </c>
      <c r="I10" s="10">
        <f t="shared" si="0"/>
        <v>6.7924635952900658E-3</v>
      </c>
      <c r="M10" s="5" t="s">
        <v>7</v>
      </c>
      <c r="N10" s="11">
        <v>0.04</v>
      </c>
      <c r="O10" s="11">
        <v>0.49</v>
      </c>
      <c r="P10" s="12">
        <f t="shared" si="1"/>
        <v>0.47</v>
      </c>
    </row>
    <row r="11" spans="2:16" x14ac:dyDescent="0.55000000000000004">
      <c r="B11" s="5" t="s">
        <v>8</v>
      </c>
      <c r="C11" s="6">
        <v>2.3683385579937304</v>
      </c>
      <c r="D11" s="6">
        <v>2.1680782985130813</v>
      </c>
      <c r="E11" s="6">
        <v>2.3957423580786026</v>
      </c>
      <c r="F11" s="6">
        <v>2.20465973851827</v>
      </c>
      <c r="G11" s="6">
        <v>2.1877664808133814</v>
      </c>
      <c r="H11" s="6">
        <v>2.1963484945547727</v>
      </c>
      <c r="I11" s="10">
        <f t="shared" si="0"/>
        <v>-7.5108984348842833E-3</v>
      </c>
      <c r="M11" s="5" t="s">
        <v>8</v>
      </c>
      <c r="N11" s="11">
        <v>0.04</v>
      </c>
      <c r="O11" s="11">
        <v>0.68</v>
      </c>
      <c r="P11" s="12">
        <f t="shared" si="1"/>
        <v>0.27999999999999992</v>
      </c>
    </row>
    <row r="12" spans="2:16" x14ac:dyDescent="0.55000000000000004">
      <c r="B12" s="5" t="s">
        <v>9</v>
      </c>
      <c r="C12" s="6">
        <v>2.806451612903226</v>
      </c>
      <c r="D12" s="6">
        <v>2.7125396106835673</v>
      </c>
      <c r="E12" s="6">
        <v>2.7593790426908149</v>
      </c>
      <c r="F12" s="6">
        <v>2.6427161468614293</v>
      </c>
      <c r="G12" s="6">
        <v>2.2218737749902</v>
      </c>
      <c r="H12" s="6">
        <v>2.0179127725856696</v>
      </c>
      <c r="I12" s="10">
        <f t="shared" si="0"/>
        <v>-3.244762558946801E-2</v>
      </c>
      <c r="M12" s="5" t="s">
        <v>9</v>
      </c>
      <c r="N12" s="11">
        <v>0.04</v>
      </c>
      <c r="O12" s="11">
        <v>0.53</v>
      </c>
      <c r="P12" s="12">
        <f t="shared" si="1"/>
        <v>0.42999999999999994</v>
      </c>
    </row>
    <row r="14" spans="2:16" ht="23.25" x14ac:dyDescent="0.65">
      <c r="K14" s="17" t="s">
        <v>18</v>
      </c>
    </row>
    <row r="15" spans="2:16" ht="23.25" x14ac:dyDescent="0.55000000000000004">
      <c r="B15" s="3" t="s">
        <v>11</v>
      </c>
    </row>
    <row r="16" spans="2:16" ht="21.75" x14ac:dyDescent="0.6">
      <c r="B16" s="4" t="s">
        <v>1</v>
      </c>
      <c r="C16" s="7">
        <v>2007</v>
      </c>
      <c r="D16" s="7">
        <v>2009</v>
      </c>
      <c r="E16" s="7">
        <v>2011</v>
      </c>
      <c r="F16" s="7">
        <v>2013</v>
      </c>
      <c r="G16" s="7">
        <v>2015</v>
      </c>
      <c r="H16" s="7">
        <v>2017</v>
      </c>
      <c r="I16" s="7" t="s">
        <v>10</v>
      </c>
    </row>
    <row r="17" spans="2:16" x14ac:dyDescent="0.55000000000000004">
      <c r="B17" s="5" t="s">
        <v>2</v>
      </c>
      <c r="C17" s="8">
        <v>0.76</v>
      </c>
      <c r="D17" s="8">
        <v>0.77</v>
      </c>
      <c r="E17" s="8">
        <v>0.76</v>
      </c>
      <c r="F17" s="8">
        <v>0.74</v>
      </c>
      <c r="G17" s="8">
        <v>0.72</v>
      </c>
      <c r="H17" s="8">
        <v>0.53</v>
      </c>
      <c r="I17" s="10">
        <f>(H17/C17)^(1/10)-1</f>
        <v>-3.5402287378497377E-2</v>
      </c>
      <c r="J17" s="9">
        <f>I17</f>
        <v>-3.5402287378497377E-2</v>
      </c>
    </row>
    <row r="18" spans="2:16" x14ac:dyDescent="0.55000000000000004">
      <c r="B18" s="5" t="s">
        <v>3</v>
      </c>
      <c r="C18" s="8">
        <v>0.62</v>
      </c>
      <c r="D18" s="8">
        <v>0.6</v>
      </c>
      <c r="E18" s="8">
        <v>0.65</v>
      </c>
      <c r="F18" s="8">
        <v>0.66</v>
      </c>
      <c r="G18" s="8">
        <v>0.64</v>
      </c>
      <c r="H18" s="8">
        <v>0.62</v>
      </c>
      <c r="I18" s="10">
        <f t="shared" ref="I18:J24" si="2">(H18/C18)^(1/10)-1</f>
        <v>0</v>
      </c>
      <c r="J18" s="9">
        <f t="shared" ref="J18:J24" si="3">I18</f>
        <v>0</v>
      </c>
      <c r="N18" s="16" t="s">
        <v>4</v>
      </c>
    </row>
    <row r="19" spans="2:16" x14ac:dyDescent="0.55000000000000004">
      <c r="B19" s="5" t="s">
        <v>4</v>
      </c>
      <c r="C19" s="8">
        <v>0.12</v>
      </c>
      <c r="D19" s="8">
        <v>0.19</v>
      </c>
      <c r="E19" s="8">
        <v>0.17</v>
      </c>
      <c r="F19" s="8">
        <v>0.22</v>
      </c>
      <c r="G19" s="8">
        <v>0.2</v>
      </c>
      <c r="H19" s="8">
        <v>0.15</v>
      </c>
      <c r="I19" s="10">
        <f t="shared" si="2"/>
        <v>2.2565182563572872E-2</v>
      </c>
      <c r="J19" s="9">
        <f t="shared" si="3"/>
        <v>2.2565182563572872E-2</v>
      </c>
    </row>
    <row r="20" spans="2:16" x14ac:dyDescent="0.55000000000000004">
      <c r="B20" s="5" t="s">
        <v>5</v>
      </c>
      <c r="C20" s="8">
        <v>0.48</v>
      </c>
      <c r="D20" s="8">
        <v>0.46</v>
      </c>
      <c r="E20" s="8">
        <v>0.5</v>
      </c>
      <c r="F20" s="8">
        <v>0.47</v>
      </c>
      <c r="G20" s="8">
        <v>0.48</v>
      </c>
      <c r="H20" s="8">
        <v>0.47</v>
      </c>
      <c r="I20" s="10">
        <f t="shared" si="2"/>
        <v>-2.1031262440773801E-3</v>
      </c>
      <c r="J20" s="9">
        <f t="shared" si="3"/>
        <v>-2.1031262440773801E-3</v>
      </c>
      <c r="M20" s="15" t="s">
        <v>9</v>
      </c>
      <c r="O20" s="15" t="s">
        <v>5</v>
      </c>
    </row>
    <row r="21" spans="2:16" x14ac:dyDescent="0.55000000000000004">
      <c r="B21" s="5" t="s">
        <v>6</v>
      </c>
      <c r="C21" s="8">
        <v>0.79</v>
      </c>
      <c r="D21" s="8">
        <v>0.8</v>
      </c>
      <c r="E21" s="8">
        <v>0.82</v>
      </c>
      <c r="F21" s="8">
        <v>0.83</v>
      </c>
      <c r="G21" s="8">
        <v>0.82</v>
      </c>
      <c r="H21" s="8">
        <v>0.82</v>
      </c>
      <c r="I21" s="10">
        <f t="shared" si="2"/>
        <v>3.7340939014227637E-3</v>
      </c>
      <c r="J21" s="9">
        <f t="shared" si="3"/>
        <v>3.7340939014227637E-3</v>
      </c>
    </row>
    <row r="22" spans="2:16" x14ac:dyDescent="0.55000000000000004">
      <c r="B22" s="5" t="s">
        <v>7</v>
      </c>
      <c r="C22" s="8">
        <v>0.4</v>
      </c>
      <c r="D22" s="8">
        <v>0.46</v>
      </c>
      <c r="E22" s="8">
        <v>0.46</v>
      </c>
      <c r="F22" s="8">
        <v>0.48</v>
      </c>
      <c r="G22" s="8">
        <v>0.53</v>
      </c>
      <c r="H22" s="8">
        <v>0.53</v>
      </c>
      <c r="I22" s="10">
        <f t="shared" si="2"/>
        <v>2.8540951399434356E-2</v>
      </c>
      <c r="J22" s="9">
        <f t="shared" si="3"/>
        <v>2.8540951399434356E-2</v>
      </c>
      <c r="N22" s="15" t="s">
        <v>6</v>
      </c>
    </row>
    <row r="23" spans="2:16" x14ac:dyDescent="0.55000000000000004">
      <c r="B23" s="5" t="s">
        <v>8</v>
      </c>
      <c r="C23" s="8">
        <v>0.57999999999999996</v>
      </c>
      <c r="D23" s="8">
        <v>0.61</v>
      </c>
      <c r="E23" s="8">
        <v>0.65</v>
      </c>
      <c r="F23" s="8">
        <v>0.7</v>
      </c>
      <c r="G23" s="8">
        <v>0.73</v>
      </c>
      <c r="H23" s="8">
        <v>0.72</v>
      </c>
      <c r="I23" s="10">
        <f t="shared" si="2"/>
        <v>2.1857766983182536E-2</v>
      </c>
      <c r="J23" s="9">
        <f t="shared" si="3"/>
        <v>2.1857766983182536E-2</v>
      </c>
      <c r="O23" s="15" t="s">
        <v>3</v>
      </c>
    </row>
    <row r="24" spans="2:16" x14ac:dyDescent="0.55000000000000004">
      <c r="B24" s="5" t="s">
        <v>9</v>
      </c>
      <c r="C24" s="8">
        <v>0.35</v>
      </c>
      <c r="D24" s="8">
        <v>0.35</v>
      </c>
      <c r="E24" s="8">
        <v>0.41</v>
      </c>
      <c r="F24" s="8">
        <v>0.48</v>
      </c>
      <c r="G24" s="8">
        <v>0.53</v>
      </c>
      <c r="H24" s="8">
        <v>0.56999999999999995</v>
      </c>
      <c r="I24" s="10">
        <f t="shared" si="2"/>
        <v>4.9979164495061346E-2</v>
      </c>
      <c r="J24" s="9">
        <f t="shared" si="3"/>
        <v>4.9979164495061346E-2</v>
      </c>
      <c r="O24" s="15"/>
      <c r="P24" s="15" t="s">
        <v>2</v>
      </c>
    </row>
    <row r="27" spans="2:16" x14ac:dyDescent="0.55000000000000004">
      <c r="N27" s="15" t="s">
        <v>8</v>
      </c>
    </row>
    <row r="29" spans="2:16" ht="17.25" customHeight="1" x14ac:dyDescent="0.55000000000000004">
      <c r="N29" s="15" t="s">
        <v>7</v>
      </c>
    </row>
  </sheetData>
  <conditionalFormatting sqref="C5:H12">
    <cfRule type="top10" dxfId="16" priority="17" bottom="1" rank="5"/>
  </conditionalFormatting>
  <conditionalFormatting sqref="C17:H24">
    <cfRule type="dataBar" priority="30">
      <dataBar>
        <cfvo type="min"/>
        <cfvo type="max"/>
        <color theme="1" tint="0.34998626667073579"/>
      </dataBar>
      <extLst>
        <ext xmlns:x14="http://schemas.microsoft.com/office/spreadsheetml/2009/9/main" uri="{B025F937-C7B1-47D3-B67F-A62EFF666E3E}">
          <x14:id>{603A42BF-5759-47EF-832B-4E6F6BB184B9}</x14:id>
        </ext>
      </extLst>
    </cfRule>
  </conditionalFormatting>
  <conditionalFormatting sqref="P5:P12">
    <cfRule type="colorScale" priority="25">
      <colorScale>
        <cfvo type="min"/>
        <cfvo type="max"/>
        <color theme="0" tint="-0.14999847407452621"/>
        <color theme="3" tint="-0.499984740745262"/>
      </colorScale>
    </cfRule>
  </conditionalFormatting>
  <conditionalFormatting sqref="B5:I12">
    <cfRule type="expression" dxfId="15" priority="19">
      <formula>$B5=$J$1</formula>
    </cfRule>
  </conditionalFormatting>
  <conditionalFormatting sqref="M5:O12">
    <cfRule type="expression" dxfId="14" priority="23">
      <formula>$M5=$J$1</formula>
    </cfRule>
  </conditionalFormatting>
  <conditionalFormatting sqref="B17:I24">
    <cfRule type="expression" dxfId="13" priority="15">
      <formula>$B17=$J$1</formula>
    </cfRule>
  </conditionalFormatting>
  <conditionalFormatting sqref="M21">
    <cfRule type="expression" dxfId="12" priority="13">
      <formula>M20=$J$1</formula>
    </cfRule>
  </conditionalFormatting>
  <conditionalFormatting sqref="M22">
    <cfRule type="expression" dxfId="11" priority="12">
      <formula>M20=$J$1</formula>
    </cfRule>
  </conditionalFormatting>
  <conditionalFormatting sqref="N19">
    <cfRule type="expression" dxfId="10" priority="11">
      <formula>N18=$J$1</formula>
    </cfRule>
  </conditionalFormatting>
  <conditionalFormatting sqref="N20">
    <cfRule type="expression" dxfId="9" priority="10">
      <formula>N18=$J$1</formula>
    </cfRule>
  </conditionalFormatting>
  <conditionalFormatting sqref="O19">
    <cfRule type="expression" dxfId="8" priority="9">
      <formula>O20=$J$1</formula>
    </cfRule>
  </conditionalFormatting>
  <conditionalFormatting sqref="O20">
    <cfRule type="expression" dxfId="7" priority="8">
      <formula>O20=$J$1</formula>
    </cfRule>
  </conditionalFormatting>
  <conditionalFormatting sqref="N23">
    <cfRule type="expression" dxfId="6" priority="7">
      <formula>N22=$J$1</formula>
    </cfRule>
  </conditionalFormatting>
  <conditionalFormatting sqref="O23">
    <cfRule type="expression" dxfId="5" priority="6">
      <formula>O23=$J$1</formula>
    </cfRule>
  </conditionalFormatting>
  <conditionalFormatting sqref="O24">
    <cfRule type="expression" dxfId="4" priority="5">
      <formula>O23=$J$1</formula>
    </cfRule>
  </conditionalFormatting>
  <conditionalFormatting sqref="O25">
    <cfRule type="expression" dxfId="3" priority="4">
      <formula>P24=$J$1</formula>
    </cfRule>
  </conditionalFormatting>
  <conditionalFormatting sqref="O26">
    <cfRule type="expression" dxfId="2" priority="3">
      <formula>N27=$J$1</formula>
    </cfRule>
  </conditionalFormatting>
  <conditionalFormatting sqref="O28">
    <cfRule type="expression" dxfId="1" priority="2">
      <formula>N29=$J$1</formula>
    </cfRule>
  </conditionalFormatting>
  <conditionalFormatting sqref="O29">
    <cfRule type="expression" dxfId="0" priority="1">
      <formula>N29=$J$1</formula>
    </cfRule>
  </conditionalFormatting>
  <dataValidations count="1">
    <dataValidation type="list" allowBlank="1" showInputMessage="1" showErrorMessage="1" sqref="J1">
      <formula1>$B$5:$B$12</formula1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03A42BF-5759-47EF-832B-4E6F6BB184B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C17:H24</xm:sqref>
        </x14:conditionalFormatting>
        <x14:conditionalFormatting xmlns:xm="http://schemas.microsoft.com/office/excel/2006/main">
          <x14:cfRule type="iconSet" priority="26" id="{2BB28F70-A559-41A8-A97F-AE15250C36E2}">
            <x14:iconSet iconSet="3Triangles" showValue="0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m:sqref>J17:J24</xm:sqref>
        </x14:conditionalFormatting>
      </x14:conditionalFormattings>
    </ext>
    <ext xmlns:x14="http://schemas.microsoft.com/office/spreadsheetml/2009/9/main" uri="{05C60535-1F16-4fd2-B633-F4F36F0B64E0}">
      <x14:sparklineGroups xmlns:xm="http://schemas.microsoft.com/office/excel/2006/main">
        <x14:sparklineGroup type="column" displayEmptyCellsAs="gap" high="1">
          <x14:colorSeries rgb="FF0F76C6"/>
          <x14:colorNegative rgb="FFD00000"/>
          <x14:colorAxis rgb="FF000000"/>
          <x14:colorMarkers rgb="FFD00000"/>
          <x14:colorFirst rgb="FFD00000"/>
          <x14:colorLast rgb="FFD00000"/>
          <x14:colorHigh rgb="FFFF0000"/>
          <x14:colorLow rgb="FFD00000"/>
          <x14:sparklines>
            <x14:sparkline>
              <xm:f>'Waste Management Report'!C5:H5</xm:f>
              <xm:sqref>J5</xm:sqref>
            </x14:sparkline>
            <x14:sparkline>
              <xm:f>'Waste Management Report'!C6:H6</xm:f>
              <xm:sqref>J6</xm:sqref>
            </x14:sparkline>
            <x14:sparkline>
              <xm:f>'Waste Management Report'!C7:H7</xm:f>
              <xm:sqref>J7</xm:sqref>
            </x14:sparkline>
            <x14:sparkline>
              <xm:f>'Waste Management Report'!C8:H8</xm:f>
              <xm:sqref>J8</xm:sqref>
            </x14:sparkline>
            <x14:sparkline>
              <xm:f>'Waste Management Report'!C9:H9</xm:f>
              <xm:sqref>J9</xm:sqref>
            </x14:sparkline>
            <x14:sparkline>
              <xm:f>'Waste Management Report'!C10:H10</xm:f>
              <xm:sqref>J10</xm:sqref>
            </x14:sparkline>
            <x14:sparkline>
              <xm:f>'Waste Management Report'!C11:H11</xm:f>
              <xm:sqref>J11</xm:sqref>
            </x14:sparkline>
            <x14:sparkline>
              <xm:f>'Waste Management Report'!C12:H12</xm:f>
              <xm:sqref>J12</xm:sqref>
            </x14:sparkline>
          </x14:sparklines>
        </x14:sparklineGroup>
      </x14:sparklineGroup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Waste Management 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priyanka nagar</dc:creator>
  <cp:lastModifiedBy>priyanka nagar</cp:lastModifiedBy>
  <dcterms:created xsi:type="dcterms:W3CDTF">2024-02-05T20:44:46Z</dcterms:created>
  <dcterms:modified xsi:type="dcterms:W3CDTF">2024-02-05T22:36:53Z</dcterms:modified>
</cp:coreProperties>
</file>